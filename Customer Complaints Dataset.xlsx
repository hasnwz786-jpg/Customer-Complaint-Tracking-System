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aints_Data" sheetId="1" r:id="rId4"/>
    <sheet state="visible" name="Time_Series_Analysis" sheetId="2" r:id="rId5"/>
  </sheets>
  <definedNames/>
  <calcPr/>
</workbook>
</file>

<file path=xl/sharedStrings.xml><?xml version="1.0" encoding="utf-8"?>
<sst xmlns="http://schemas.openxmlformats.org/spreadsheetml/2006/main" count="81" uniqueCount="49">
  <si>
    <t>Complain ID</t>
  </si>
  <si>
    <t>Customer Name</t>
  </si>
  <si>
    <t>Contact number</t>
  </si>
  <si>
    <t>Type of Complaint</t>
  </si>
  <si>
    <t>Describe Your Complaint</t>
  </si>
  <si>
    <t>Date of Complaint</t>
  </si>
  <si>
    <t>Complaint Priority</t>
  </si>
  <si>
    <t xml:space="preserve">status </t>
  </si>
  <si>
    <t>Column 9</t>
  </si>
  <si>
    <t>ABU BAKAR</t>
  </si>
  <si>
    <t>Late Delivery</t>
  </si>
  <si>
    <t xml:space="preserve">Late delivery </t>
  </si>
  <si>
    <t>High</t>
  </si>
  <si>
    <t>Resolved</t>
  </si>
  <si>
    <t>Nabi Ahmed</t>
  </si>
  <si>
    <t>Wrong Product</t>
  </si>
  <si>
    <t>I ordered a Navy blue coat but I received red coat.</t>
  </si>
  <si>
    <t>Pending</t>
  </si>
  <si>
    <t>Hassan Nawaz</t>
  </si>
  <si>
    <t xml:space="preserve">You deliver the wrong product </t>
  </si>
  <si>
    <t>Medium</t>
  </si>
  <si>
    <t>In progress</t>
  </si>
  <si>
    <t>Ali Raza</t>
  </si>
  <si>
    <t xml:space="preserve">I didn’t received my package </t>
  </si>
  <si>
    <t>Hasan ali</t>
  </si>
  <si>
    <t>Billing Issue</t>
  </si>
  <si>
    <t>Billing issue</t>
  </si>
  <si>
    <t xml:space="preserve">Hasan ali </t>
  </si>
  <si>
    <t>Very high amount of bill</t>
  </si>
  <si>
    <t>None</t>
  </si>
  <si>
    <t>Other</t>
  </si>
  <si>
    <t>Low</t>
  </si>
  <si>
    <t xml:space="preserve">Abdul Mateen </t>
  </si>
  <si>
    <t>Yajooj Majooj</t>
  </si>
  <si>
    <t>Service Delay</t>
  </si>
  <si>
    <t>My Hammer not received yet...😡 I want to destroy the whole world.</t>
  </si>
  <si>
    <t>open</t>
  </si>
  <si>
    <t>Harris</t>
  </si>
  <si>
    <t>..</t>
  </si>
  <si>
    <t xml:space="preserve">Muhammad Zohaib Arshad </t>
  </si>
  <si>
    <t xml:space="preserve">Service delay </t>
  </si>
  <si>
    <t xml:space="preserve">Abdullah </t>
  </si>
  <si>
    <t>My product not received yet</t>
  </si>
  <si>
    <t>Laiba khan</t>
  </si>
  <si>
    <t xml:space="preserve">I didn’t received my face wash </t>
  </si>
  <si>
    <t xml:space="preserve">Hashim Nadeem </t>
  </si>
  <si>
    <t xml:space="preserve">Double payment </t>
  </si>
  <si>
    <t>Date</t>
  </si>
  <si>
    <t>Total_Complaints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</si>
</sst>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Complaints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me_Series_Analysis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Total_Complaints vs.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Time_Series_Analysis!$B$1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5B0F00">
                    <a:alpha val="40000"/>
                  </a:srgbClr>
                </a:solidFill>
              </a:ln>
            </c:spPr>
            <c:trendlineType val="linear"/>
            <c:dispRSqr val="1"/>
            <c:dispEq val="1"/>
          </c:trendline>
          <c:cat>
            <c:strRef>
              <c:f>Time_Series_Analysis!$A$2:$A$14</c:f>
            </c:strRef>
          </c:cat>
          <c:val>
            <c:numRef>
              <c:f>Time_Series_Analysis!$B$2:$B$14</c:f>
              <c:numCache/>
            </c:numRef>
          </c:val>
          <c:smooth val="0"/>
        </c:ser>
        <c:axId val="1742171025"/>
        <c:axId val="82187253"/>
      </c:lineChart>
      <c:catAx>
        <c:axId val="1742171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87253"/>
      </c:catAx>
      <c:valAx>
        <c:axId val="8218725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Total_Complaints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171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I15" displayName="Form_Responses" name="Form_Responses" id="1">
  <tableColumns count="9">
    <tableColumn name="Complain ID" id="1"/>
    <tableColumn name="Customer Name" id="2"/>
    <tableColumn name="Contact number" id="3"/>
    <tableColumn name="Type of Complaint" id="4"/>
    <tableColumn name="Describe Your Complaint" id="5"/>
    <tableColumn name="Date of Complaint" id="6"/>
    <tableColumn name="Complaint Priority" id="7"/>
    <tableColumn name="status " id="8"/>
    <tableColumn name="Column 9" id="9"/>
  </tableColumns>
  <tableStyleInfo name="Complaints_Data-style" showColumnStripes="0" showFirstColumn="1" showLastColumn="1" showRowStripes="1"/>
</table>
</file>

<file path=xl/tables/table2.xml><?xml version="1.0" encoding="utf-8"?>
<table xmlns="http://schemas.openxmlformats.org/spreadsheetml/2006/main" ref="A1:B14" displayName="Table1" name="Table1" id="2">
  <tableColumns count="2">
    <tableColumn name="Date" id="1"/>
    <tableColumn name="Total_Complaints" id="2"/>
  </tableColumns>
  <tableStyleInfo name="Time_Series_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88"/>
    <col customWidth="1" min="3" max="3" width="20.63"/>
    <col customWidth="1" min="4" max="4" width="22.25"/>
    <col customWidth="1" min="5" max="5" width="37.63"/>
    <col customWidth="1" min="6" max="6" width="22.13"/>
    <col customWidth="1" min="7" max="7" width="22.0"/>
    <col customWidth="1" min="8" max="8" width="18.88"/>
    <col customWidth="1" hidden="1" min="9" max="9" width="18.88"/>
    <col customWidth="1" min="10" max="1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ht="22.5" customHeight="1">
      <c r="A2" s="4">
        <v>9034.0</v>
      </c>
      <c r="B2" s="5" t="s">
        <v>9</v>
      </c>
      <c r="C2" s="6">
        <v>3.247531458E9</v>
      </c>
      <c r="D2" s="5" t="s">
        <v>10</v>
      </c>
      <c r="E2" s="5" t="s">
        <v>11</v>
      </c>
      <c r="F2" s="7">
        <v>46020.0</v>
      </c>
      <c r="G2" s="5" t="s">
        <v>12</v>
      </c>
      <c r="H2" s="8" t="s">
        <v>13</v>
      </c>
      <c r="I2" s="9"/>
    </row>
    <row r="3" ht="22.5" customHeight="1">
      <c r="A3" s="4">
        <v>6789.0</v>
      </c>
      <c r="B3" s="10" t="s">
        <v>14</v>
      </c>
      <c r="C3" s="4">
        <v>3.487823075E9</v>
      </c>
      <c r="D3" s="10" t="s">
        <v>15</v>
      </c>
      <c r="E3" s="10" t="s">
        <v>16</v>
      </c>
      <c r="F3" s="11">
        <v>46020.0</v>
      </c>
      <c r="G3" s="10" t="s">
        <v>12</v>
      </c>
      <c r="H3" s="12" t="s">
        <v>17</v>
      </c>
      <c r="I3" s="13"/>
    </row>
    <row r="4" ht="22.5" customHeight="1">
      <c r="A4" s="4">
        <v>2490.0</v>
      </c>
      <c r="B4" s="10" t="s">
        <v>18</v>
      </c>
      <c r="C4" s="4">
        <v>3.006620808E9</v>
      </c>
      <c r="D4" s="10" t="s">
        <v>15</v>
      </c>
      <c r="E4" s="10" t="s">
        <v>19</v>
      </c>
      <c r="F4" s="11">
        <v>46022.0</v>
      </c>
      <c r="G4" s="10" t="s">
        <v>20</v>
      </c>
      <c r="H4" s="12" t="s">
        <v>21</v>
      </c>
      <c r="I4" s="13"/>
    </row>
    <row r="5" ht="22.5" customHeight="1">
      <c r="A5" s="4">
        <v>6785.0</v>
      </c>
      <c r="B5" s="10" t="s">
        <v>22</v>
      </c>
      <c r="C5" s="4">
        <v>3.008090606E9</v>
      </c>
      <c r="D5" s="10" t="s">
        <v>10</v>
      </c>
      <c r="E5" s="10" t="s">
        <v>23</v>
      </c>
      <c r="F5" s="11">
        <v>46022.0</v>
      </c>
      <c r="G5" s="10" t="s">
        <v>12</v>
      </c>
      <c r="H5" s="12" t="s">
        <v>21</v>
      </c>
      <c r="I5" s="13"/>
    </row>
    <row r="6" ht="22.5" customHeight="1">
      <c r="A6" s="4">
        <v>3367.0</v>
      </c>
      <c r="B6" s="10" t="s">
        <v>24</v>
      </c>
      <c r="C6" s="4">
        <v>3.215677966E9</v>
      </c>
      <c r="D6" s="10" t="s">
        <v>25</v>
      </c>
      <c r="E6" s="10" t="s">
        <v>26</v>
      </c>
      <c r="F6" s="11">
        <v>46022.0</v>
      </c>
      <c r="G6" s="10" t="s">
        <v>20</v>
      </c>
      <c r="H6" s="12" t="s">
        <v>13</v>
      </c>
      <c r="I6" s="13"/>
    </row>
    <row r="7" ht="22.5" customHeight="1">
      <c r="A7" s="4">
        <v>4907.0</v>
      </c>
      <c r="B7" s="10" t="s">
        <v>27</v>
      </c>
      <c r="C7" s="4">
        <v>3.215677966E9</v>
      </c>
      <c r="D7" s="10" t="s">
        <v>25</v>
      </c>
      <c r="E7" s="10" t="s">
        <v>28</v>
      </c>
      <c r="F7" s="11">
        <v>46023.0</v>
      </c>
      <c r="G7" s="10" t="s">
        <v>20</v>
      </c>
      <c r="H7" s="12" t="s">
        <v>17</v>
      </c>
      <c r="I7" s="13"/>
    </row>
    <row r="8" ht="22.5" customHeight="1">
      <c r="A8" s="4">
        <v>5599.0</v>
      </c>
      <c r="B8" s="10" t="s">
        <v>29</v>
      </c>
      <c r="C8" s="4">
        <v>3.218890786E9</v>
      </c>
      <c r="D8" s="10" t="s">
        <v>30</v>
      </c>
      <c r="E8" s="10" t="s">
        <v>29</v>
      </c>
      <c r="F8" s="11">
        <v>46025.08333333333</v>
      </c>
      <c r="G8" s="10" t="s">
        <v>31</v>
      </c>
      <c r="H8" s="12" t="s">
        <v>13</v>
      </c>
      <c r="I8" s="13"/>
    </row>
    <row r="9" ht="22.5" customHeight="1">
      <c r="A9" s="4">
        <v>8809.0</v>
      </c>
      <c r="B9" s="10" t="s">
        <v>32</v>
      </c>
      <c r="C9" s="4">
        <v>5.888225678E9</v>
      </c>
      <c r="D9" s="10" t="s">
        <v>10</v>
      </c>
      <c r="E9" s="10" t="s">
        <v>11</v>
      </c>
      <c r="F9" s="11">
        <v>46025.42222222222</v>
      </c>
      <c r="G9" s="10" t="s">
        <v>12</v>
      </c>
      <c r="H9" s="12" t="s">
        <v>21</v>
      </c>
      <c r="I9" s="13"/>
    </row>
    <row r="10" ht="22.5" customHeight="1">
      <c r="A10" s="4">
        <v>2062.0</v>
      </c>
      <c r="B10" s="10" t="s">
        <v>33</v>
      </c>
      <c r="C10" s="4">
        <v>3.196547832E9</v>
      </c>
      <c r="D10" s="10" t="s">
        <v>34</v>
      </c>
      <c r="E10" s="10" t="s">
        <v>35</v>
      </c>
      <c r="F10" s="11">
        <v>46024.0</v>
      </c>
      <c r="G10" s="10" t="s">
        <v>12</v>
      </c>
      <c r="H10" s="12" t="s">
        <v>36</v>
      </c>
      <c r="I10" s="13"/>
    </row>
    <row r="11" ht="22.5" customHeight="1">
      <c r="A11" s="4">
        <v>8090.0</v>
      </c>
      <c r="B11" s="10" t="s">
        <v>37</v>
      </c>
      <c r="C11" s="4">
        <v>3.368611223E9</v>
      </c>
      <c r="D11" s="10" t="s">
        <v>34</v>
      </c>
      <c r="E11" s="10" t="s">
        <v>38</v>
      </c>
      <c r="F11" s="11">
        <v>46026.0</v>
      </c>
      <c r="G11" s="10" t="s">
        <v>12</v>
      </c>
      <c r="H11" s="12" t="s">
        <v>17</v>
      </c>
      <c r="I11" s="13"/>
    </row>
    <row r="12" ht="22.5" customHeight="1">
      <c r="A12" s="4">
        <v>6662.0</v>
      </c>
      <c r="B12" s="10" t="s">
        <v>39</v>
      </c>
      <c r="C12" s="4">
        <v>3.270643636E9</v>
      </c>
      <c r="D12" s="10" t="s">
        <v>34</v>
      </c>
      <c r="E12" s="10" t="s">
        <v>40</v>
      </c>
      <c r="F12" s="11">
        <v>46026.0</v>
      </c>
      <c r="G12" s="10" t="s">
        <v>20</v>
      </c>
      <c r="H12" s="12" t="s">
        <v>17</v>
      </c>
      <c r="I12" s="13"/>
    </row>
    <row r="13" ht="22.5" customHeight="1">
      <c r="A13" s="4">
        <v>4369.0</v>
      </c>
      <c r="B13" s="14" t="s">
        <v>41</v>
      </c>
      <c r="C13" s="4">
        <v>3.007868909E9</v>
      </c>
      <c r="D13" s="14" t="s">
        <v>10</v>
      </c>
      <c r="E13" s="14" t="s">
        <v>42</v>
      </c>
      <c r="F13" s="11">
        <v>46023.47916666667</v>
      </c>
      <c r="G13" s="14" t="s">
        <v>12</v>
      </c>
      <c r="H13" s="12" t="s">
        <v>21</v>
      </c>
      <c r="I13" s="13"/>
    </row>
    <row r="14" ht="22.5" customHeight="1">
      <c r="A14" s="4">
        <v>8790.0</v>
      </c>
      <c r="B14" s="14" t="s">
        <v>43</v>
      </c>
      <c r="C14" s="4">
        <v>3.008888E9</v>
      </c>
      <c r="D14" s="14" t="s">
        <v>10</v>
      </c>
      <c r="E14" s="14" t="s">
        <v>44</v>
      </c>
      <c r="F14" s="11">
        <v>46031.0</v>
      </c>
      <c r="G14" s="14" t="s">
        <v>12</v>
      </c>
      <c r="H14" s="12" t="s">
        <v>21</v>
      </c>
      <c r="I14" s="13">
        <v>46025.50300256944</v>
      </c>
    </row>
    <row r="15" ht="22.5" customHeight="1">
      <c r="A15" s="4">
        <v>6598.0</v>
      </c>
      <c r="B15" s="14" t="s">
        <v>45</v>
      </c>
      <c r="C15" s="4">
        <v>3.218086275E9</v>
      </c>
      <c r="D15" s="14" t="s">
        <v>25</v>
      </c>
      <c r="E15" s="14" t="s">
        <v>46</v>
      </c>
      <c r="F15" s="11">
        <v>46029.0</v>
      </c>
      <c r="G15" s="14" t="s">
        <v>20</v>
      </c>
      <c r="H15" s="12" t="s">
        <v>13</v>
      </c>
      <c r="I15" s="13">
        <v>46025.50472912037</v>
      </c>
    </row>
  </sheetData>
  <dataValidations>
    <dataValidation type="custom" allowBlank="1" showDropDown="1" sqref="F2:F15">
      <formula1>OR(NOT(ISERROR(DATEVALUE(F2))), AND(ISNUMBER(F2), LEFT(CELL("format", F2))="D"))</formula1>
    </dataValidation>
    <dataValidation type="custom" allowBlank="1" showDropDown="1" sqref="A2:A15 C2:C15">
      <formula1>AND(ISNUMBER(A2),(NOT(OR(NOT(ISERROR(DATEVALUE(A2))), AND(ISNUMBER(A2), LEFT(CELL("format", A2))="D")))))</formula1>
    </dataValidation>
    <dataValidation type="list" allowBlank="1" sqref="H2:H15">
      <formula1>"Resolved,Pending,In progress,open"</formula1>
    </dataValidation>
    <dataValidation allowBlank="1" showDropDown="1" sqref="B2:B15 D2:E15 G2:G1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21.75"/>
  </cols>
  <sheetData>
    <row r="1" ht="22.5" customHeight="1">
      <c r="A1" s="15" t="s">
        <v>47</v>
      </c>
      <c r="B1" s="15" t="s">
        <v>48</v>
      </c>
    </row>
    <row r="2" ht="22.5" customHeight="1">
      <c r="A2" s="7">
        <v>46020.0</v>
      </c>
      <c r="B2" s="6">
        <v>2.0</v>
      </c>
    </row>
    <row r="3" ht="22.5" customHeight="1">
      <c r="A3" s="7">
        <v>46021.0</v>
      </c>
      <c r="B3" s="6">
        <f>COUNTIF(Complaints_Data!F:F, A3)</f>
        <v>0</v>
      </c>
    </row>
    <row r="4" ht="22.5" customHeight="1">
      <c r="A4" s="7">
        <v>46022.0</v>
      </c>
      <c r="B4" s="6">
        <f>COUNTIF(Complaints_Data!F:F, A4)</f>
        <v>3</v>
      </c>
    </row>
    <row r="5" ht="22.5" customHeight="1">
      <c r="A5" s="7">
        <v>46023.0</v>
      </c>
      <c r="B5" s="6">
        <f>COUNTIF(Complaints_Data!F:F, A5)</f>
        <v>1</v>
      </c>
    </row>
    <row r="6" ht="22.5" customHeight="1">
      <c r="A6" s="7">
        <v>46024.0</v>
      </c>
      <c r="B6" s="6">
        <f>COUNTIF(Complaints_Data!F:F, A6)</f>
        <v>1</v>
      </c>
    </row>
    <row r="7" ht="22.5" customHeight="1">
      <c r="A7" s="7">
        <v>46025.0</v>
      </c>
      <c r="B7" s="6">
        <f>COUNTIF(Complaints_Data!F:F, A7)</f>
        <v>0</v>
      </c>
    </row>
    <row r="8" ht="22.5" customHeight="1">
      <c r="A8" s="7">
        <v>46026.0</v>
      </c>
      <c r="B8" s="6">
        <f>COUNTIF(Complaints_Data!F:F, A8)</f>
        <v>2</v>
      </c>
    </row>
    <row r="9" ht="22.5" customHeight="1">
      <c r="A9" s="7">
        <v>46027.0</v>
      </c>
      <c r="B9" s="6">
        <f>COUNTIF(Complaints_Data!F:F, A9)</f>
        <v>0</v>
      </c>
    </row>
    <row r="10" ht="22.5" customHeight="1">
      <c r="A10" s="7">
        <v>46028.0</v>
      </c>
      <c r="B10" s="6">
        <f>COUNTIF(Complaints_Data!F:F, A10)</f>
        <v>0</v>
      </c>
    </row>
    <row r="11" ht="22.5" customHeight="1">
      <c r="A11" s="7">
        <v>46029.0</v>
      </c>
      <c r="B11" s="6">
        <f>COUNTIF(Complaints_Data!F:F, A11)</f>
        <v>1</v>
      </c>
    </row>
    <row r="12" ht="22.5" customHeight="1">
      <c r="A12" s="7">
        <v>46030.0</v>
      </c>
      <c r="B12" s="6">
        <f>COUNTIF(Complaints_Data!F:F, A12)</f>
        <v>0</v>
      </c>
    </row>
    <row r="13" ht="22.5" customHeight="1">
      <c r="A13" s="7">
        <v>46031.0</v>
      </c>
      <c r="B13" s="6">
        <f>COUNTIF(Complaints_Data!F:F, A13)</f>
        <v>1</v>
      </c>
    </row>
    <row r="14" ht="22.5" customHeight="1">
      <c r="A14" s="7">
        <v>46032.0</v>
      </c>
      <c r="B14" s="6">
        <f>COUNTIF(Complaints_Data!F:F, A14)</f>
        <v>0</v>
      </c>
    </row>
  </sheetData>
  <dataValidations>
    <dataValidation type="custom" allowBlank="1" showDropDown="1" sqref="A2:A14">
      <formula1>OR(NOT(ISERROR(DATEVALUE(A2))), AND(ISNUMBER(A2), LEFT(CELL("format", A2))="D"))</formula1>
    </dataValidation>
    <dataValidation type="custom" allowBlank="1" showDropDown="1" sqref="B2:B1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